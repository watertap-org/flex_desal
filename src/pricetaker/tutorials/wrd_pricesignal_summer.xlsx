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hurchi\watertap\tutorials\flex_ro\"/>
    </mc:Choice>
  </mc:AlternateContent>
  <xr:revisionPtr revIDLastSave="0" documentId="13_ncr:9_{FD5B9013-23CC-4A73-B69B-E9EF3184CB64}" xr6:coauthVersionLast="47" xr6:coauthVersionMax="47" xr10:uidLastSave="{00000000-0000-0000-0000-000000000000}"/>
  <bookViews>
    <workbookView xWindow="57480" yWindow="8430" windowWidth="29040" windowHeight="15720" xr2:uid="{06407798-C417-43D6-B85C-9492C41F7607}"/>
  </bookViews>
  <sheets>
    <sheet name="wrd_pricesignal_august" sheetId="1" r:id="rId1"/>
    <sheet name="wrd_pricesignal_winter" sheetId="3" r:id="rId2"/>
    <sheet name="calculations" sheetId="2" r:id="rId3"/>
  </sheets>
  <calcPr calcId="0"/>
</workbook>
</file>

<file path=xl/calcChain.xml><?xml version="1.0" encoding="utf-8"?>
<calcChain xmlns="http://schemas.openxmlformats.org/spreadsheetml/2006/main">
  <c r="C5" i="2" l="1"/>
  <c r="I33" i="2"/>
  <c r="J33" i="2"/>
  <c r="H33" i="2"/>
  <c r="O8" i="2"/>
  <c r="K35" i="2"/>
  <c r="J35" i="2"/>
  <c r="I35" i="2"/>
  <c r="H35" i="2"/>
</calcChain>
</file>

<file path=xl/sharedStrings.xml><?xml version="1.0" encoding="utf-8"?>
<sst xmlns="http://schemas.openxmlformats.org/spreadsheetml/2006/main" count="51" uniqueCount="25">
  <si>
    <t>DateTime</t>
  </si>
  <si>
    <t>electric_energy_on_peak</t>
  </si>
  <si>
    <t>electric_energy_off_peak</t>
  </si>
  <si>
    <t>electric_energy_mid_peak</t>
  </si>
  <si>
    <t>electric_energy_super_off_peak</t>
  </si>
  <si>
    <t>electric_customer_fixed_charge</t>
  </si>
  <si>
    <t>electric_demand_fixed_summer</t>
  </si>
  <si>
    <t>electric_demand_peak_adder_summer</t>
  </si>
  <si>
    <t>fixed charges</t>
  </si>
  <si>
    <t>Hours Classification</t>
  </si>
  <si>
    <t>Off-peak</t>
  </si>
  <si>
    <t>On-peak</t>
  </si>
  <si>
    <t>SUMMER</t>
  </si>
  <si>
    <t>Month Rate</t>
  </si>
  <si>
    <t>August</t>
  </si>
  <si>
    <t>SEC</t>
  </si>
  <si>
    <t>PRIME</t>
  </si>
  <si>
    <t>SUM</t>
  </si>
  <si>
    <t>Consumption</t>
  </si>
  <si>
    <t>Demand</t>
  </si>
  <si>
    <t>Baseline (Rel-Demand)</t>
  </si>
  <si>
    <t>Baseline (PRIME)</t>
  </si>
  <si>
    <t>On-Peak Adder</t>
  </si>
  <si>
    <t>Total</t>
  </si>
  <si>
    <t>Extra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</si>
</sst>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18" fillId="0" borderId="0" xfId="0" applyFont="1"/>
    <xf numFmtId="0" fontId="16" fillId="0" borderId="0" xfId="0" applyFont="1"/>
    <xf numFmtId="0" fontId="0" fillId="33" borderId="0" xfId="0" applyFill="1" applyAlignment="1">
      <alignment horizontal="center"/>
    </xf>
    <xf numFmtId="0" fontId="18" fillId="0" borderId="10" xfId="0" applyFont="1" applyBorder="1"/>
    <xf numFmtId="0" fontId="18" fillId="0" borderId="11" xfId="0" applyFont="1" applyBorder="1"/>
    <xf numFmtId="0" fontId="18" fillId="0" borderId="0" xfId="0" applyFont="1" applyFill="1" applyBorder="1"/>
    <xf numFmtId="0" fontId="0" fillId="0" borderId="0" xfId="0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36</xdr:row>
      <xdr:rowOff>133350</xdr:rowOff>
    </xdr:from>
    <xdr:to>
      <xdr:col>10</xdr:col>
      <xdr:colOff>1273175</xdr:colOff>
      <xdr:row>50</xdr:row>
      <xdr:rowOff>19657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1A647-79BF-281D-4349-9544C6B8E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6648450"/>
          <a:ext cx="6197600" cy="2419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17C6-2D78-4191-A798-1D63FD84BC4A}">
  <dimension ref="A1:H257"/>
  <sheetViews>
    <sheetView tabSelected="1" topLeftCell="A67" workbookViewId="0">
      <selection activeCell="A96" sqref="A96"/>
    </sheetView>
  </sheetViews>
  <sheetFormatPr defaultRowHeight="14.5" x14ac:dyDescent="0.35"/>
  <cols>
    <col min="1" max="1" width="17.90625" customWidth="1"/>
    <col min="2" max="2" width="15.90625" customWidth="1"/>
    <col min="3" max="3" width="13.7265625" customWidth="1"/>
    <col min="4" max="4" width="13.6328125" customWidth="1"/>
    <col min="5" max="5" width="14.08984375" customWidth="1"/>
    <col min="6" max="6" width="13.26953125" customWidth="1"/>
    <col min="7" max="7" width="27.81640625" customWidth="1"/>
    <col min="8" max="8" width="19.54296875" customWidth="1"/>
  </cols>
  <sheetData>
    <row r="1" spans="1:8" x14ac:dyDescent="0.35">
      <c r="A1" t="s">
        <v>0</v>
      </c>
      <c r="B1" t="s">
        <v>5</v>
      </c>
      <c r="C1" t="s">
        <v>1</v>
      </c>
      <c r="D1" t="s">
        <v>3</v>
      </c>
      <c r="E1" t="s">
        <v>2</v>
      </c>
      <c r="F1" t="s">
        <v>4</v>
      </c>
      <c r="G1" t="s">
        <v>6</v>
      </c>
      <c r="H1" t="s">
        <v>7</v>
      </c>
    </row>
    <row r="2" spans="1:8" x14ac:dyDescent="0.35">
      <c r="A2" s="1">
        <v>44427</v>
      </c>
      <c r="C2">
        <v>0</v>
      </c>
      <c r="D2">
        <v>0</v>
      </c>
      <c r="E2">
        <v>6.4019999999999994E-2</v>
      </c>
      <c r="F2">
        <v>0</v>
      </c>
      <c r="G2">
        <v>37.620000000000005</v>
      </c>
      <c r="H2">
        <v>0</v>
      </c>
    </row>
    <row r="3" spans="1:8" x14ac:dyDescent="0.35">
      <c r="A3" s="1">
        <v>44427.010416666664</v>
      </c>
      <c r="C3">
        <v>0</v>
      </c>
      <c r="D3">
        <v>0</v>
      </c>
      <c r="E3">
        <v>6.4019999999999994E-2</v>
      </c>
      <c r="F3">
        <v>0</v>
      </c>
      <c r="G3">
        <v>37.620000000000005</v>
      </c>
      <c r="H3">
        <v>0</v>
      </c>
    </row>
    <row r="4" spans="1:8" x14ac:dyDescent="0.35">
      <c r="A4" s="1">
        <v>44427.020833333336</v>
      </c>
      <c r="C4">
        <v>0</v>
      </c>
      <c r="D4">
        <v>0</v>
      </c>
      <c r="E4">
        <v>6.4019999999999994E-2</v>
      </c>
      <c r="F4">
        <v>0</v>
      </c>
      <c r="G4">
        <v>37.620000000000005</v>
      </c>
      <c r="H4">
        <v>0</v>
      </c>
    </row>
    <row r="5" spans="1:8" x14ac:dyDescent="0.35">
      <c r="A5" s="1">
        <v>44427.031249826388</v>
      </c>
      <c r="C5">
        <v>0</v>
      </c>
      <c r="D5">
        <v>0</v>
      </c>
      <c r="E5">
        <v>6.4019999999999994E-2</v>
      </c>
      <c r="F5">
        <v>0</v>
      </c>
      <c r="G5">
        <v>37.620000000000005</v>
      </c>
      <c r="H5">
        <v>0</v>
      </c>
    </row>
    <row r="6" spans="1:8" x14ac:dyDescent="0.35">
      <c r="A6" s="1">
        <v>44427.041666435187</v>
      </c>
      <c r="C6">
        <v>0</v>
      </c>
      <c r="D6">
        <v>0</v>
      </c>
      <c r="E6">
        <v>6.4019999999999994E-2</v>
      </c>
      <c r="F6">
        <v>0</v>
      </c>
      <c r="G6">
        <v>37.620000000000005</v>
      </c>
      <c r="H6">
        <v>0</v>
      </c>
    </row>
    <row r="7" spans="1:8" x14ac:dyDescent="0.35">
      <c r="A7" s="1">
        <v>44427.052083043978</v>
      </c>
      <c r="C7">
        <v>0</v>
      </c>
      <c r="D7">
        <v>0</v>
      </c>
      <c r="E7">
        <v>6.4019999999999994E-2</v>
      </c>
      <c r="F7">
        <v>0</v>
      </c>
      <c r="G7">
        <v>37.620000000000005</v>
      </c>
      <c r="H7">
        <v>0</v>
      </c>
    </row>
    <row r="8" spans="1:8" x14ac:dyDescent="0.35">
      <c r="A8" s="1">
        <v>44427.062499652777</v>
      </c>
      <c r="C8">
        <v>0</v>
      </c>
      <c r="D8">
        <v>0</v>
      </c>
      <c r="E8">
        <v>6.4019999999999994E-2</v>
      </c>
      <c r="F8">
        <v>0</v>
      </c>
      <c r="G8">
        <v>37.620000000000005</v>
      </c>
      <c r="H8">
        <v>0</v>
      </c>
    </row>
    <row r="9" spans="1:8" x14ac:dyDescent="0.35">
      <c r="A9" s="1">
        <v>44427.072916261575</v>
      </c>
      <c r="C9">
        <v>0</v>
      </c>
      <c r="D9">
        <v>0</v>
      </c>
      <c r="E9">
        <v>6.4019999999999994E-2</v>
      </c>
      <c r="F9">
        <v>0</v>
      </c>
      <c r="G9">
        <v>37.620000000000005</v>
      </c>
      <c r="H9">
        <v>0</v>
      </c>
    </row>
    <row r="10" spans="1:8" x14ac:dyDescent="0.35">
      <c r="A10" s="1">
        <v>44427.083332870374</v>
      </c>
      <c r="C10">
        <v>0</v>
      </c>
      <c r="D10">
        <v>0</v>
      </c>
      <c r="E10">
        <v>6.4019999999999994E-2</v>
      </c>
      <c r="F10">
        <v>0</v>
      </c>
      <c r="G10">
        <v>37.620000000000005</v>
      </c>
      <c r="H10">
        <v>0</v>
      </c>
    </row>
    <row r="11" spans="1:8" x14ac:dyDescent="0.35">
      <c r="A11" s="1">
        <v>44427.093749479165</v>
      </c>
      <c r="C11">
        <v>0</v>
      </c>
      <c r="D11">
        <v>0</v>
      </c>
      <c r="E11">
        <v>6.4019999999999994E-2</v>
      </c>
      <c r="F11">
        <v>0</v>
      </c>
      <c r="G11">
        <v>37.620000000000005</v>
      </c>
      <c r="H11">
        <v>0</v>
      </c>
    </row>
    <row r="12" spans="1:8" x14ac:dyDescent="0.35">
      <c r="A12" s="1">
        <v>44427.104166087964</v>
      </c>
      <c r="C12">
        <v>0</v>
      </c>
      <c r="D12">
        <v>0</v>
      </c>
      <c r="E12">
        <v>6.4019999999999994E-2</v>
      </c>
      <c r="F12">
        <v>0</v>
      </c>
      <c r="G12">
        <v>37.620000000000005</v>
      </c>
      <c r="H12">
        <v>0</v>
      </c>
    </row>
    <row r="13" spans="1:8" x14ac:dyDescent="0.35">
      <c r="A13" s="1">
        <v>44427.114582696762</v>
      </c>
      <c r="C13">
        <v>0</v>
      </c>
      <c r="D13">
        <v>0</v>
      </c>
      <c r="E13">
        <v>6.4019999999999994E-2</v>
      </c>
      <c r="F13">
        <v>0</v>
      </c>
      <c r="G13">
        <v>37.620000000000005</v>
      </c>
      <c r="H13">
        <v>0</v>
      </c>
    </row>
    <row r="14" spans="1:8" x14ac:dyDescent="0.35">
      <c r="A14" s="1">
        <v>44427.124999305554</v>
      </c>
      <c r="C14">
        <v>0</v>
      </c>
      <c r="D14">
        <v>0</v>
      </c>
      <c r="E14">
        <v>6.4019999999999994E-2</v>
      </c>
      <c r="F14">
        <v>0</v>
      </c>
      <c r="G14">
        <v>37.620000000000005</v>
      </c>
      <c r="H14">
        <v>0</v>
      </c>
    </row>
    <row r="15" spans="1:8" x14ac:dyDescent="0.35">
      <c r="A15" s="1">
        <v>44427.135415914352</v>
      </c>
      <c r="C15">
        <v>0</v>
      </c>
      <c r="D15">
        <v>0</v>
      </c>
      <c r="E15">
        <v>6.4019999999999994E-2</v>
      </c>
      <c r="F15">
        <v>0</v>
      </c>
      <c r="G15">
        <v>37.620000000000005</v>
      </c>
      <c r="H15">
        <v>0</v>
      </c>
    </row>
    <row r="16" spans="1:8" x14ac:dyDescent="0.35">
      <c r="A16" s="1">
        <v>44427.145832523151</v>
      </c>
      <c r="C16">
        <v>0</v>
      </c>
      <c r="D16">
        <v>0</v>
      </c>
      <c r="E16">
        <v>6.4019999999999994E-2</v>
      </c>
      <c r="F16">
        <v>0</v>
      </c>
      <c r="G16">
        <v>37.620000000000005</v>
      </c>
      <c r="H16">
        <v>0</v>
      </c>
    </row>
    <row r="17" spans="1:8" x14ac:dyDescent="0.35">
      <c r="A17" s="1">
        <v>44427.156249131942</v>
      </c>
      <c r="C17">
        <v>0</v>
      </c>
      <c r="D17">
        <v>0</v>
      </c>
      <c r="E17">
        <v>6.4019999999999994E-2</v>
      </c>
      <c r="F17">
        <v>0</v>
      </c>
      <c r="G17">
        <v>37.620000000000005</v>
      </c>
      <c r="H17">
        <v>0</v>
      </c>
    </row>
    <row r="18" spans="1:8" x14ac:dyDescent="0.35">
      <c r="A18" s="1">
        <v>44427.16666574074</v>
      </c>
      <c r="C18">
        <v>0</v>
      </c>
      <c r="D18">
        <v>0</v>
      </c>
      <c r="E18">
        <v>6.4019999999999994E-2</v>
      </c>
      <c r="F18">
        <v>0</v>
      </c>
      <c r="G18">
        <v>37.620000000000005</v>
      </c>
      <c r="H18">
        <v>0</v>
      </c>
    </row>
    <row r="19" spans="1:8" x14ac:dyDescent="0.35">
      <c r="A19" s="1">
        <v>44427.177082349539</v>
      </c>
      <c r="C19">
        <v>0</v>
      </c>
      <c r="D19">
        <v>0</v>
      </c>
      <c r="E19">
        <v>6.4019999999999994E-2</v>
      </c>
      <c r="F19">
        <v>0</v>
      </c>
      <c r="G19">
        <v>37.620000000000005</v>
      </c>
      <c r="H19">
        <v>0</v>
      </c>
    </row>
    <row r="20" spans="1:8" x14ac:dyDescent="0.35">
      <c r="A20" s="1">
        <v>44427.18749895833</v>
      </c>
      <c r="C20">
        <v>0</v>
      </c>
      <c r="D20">
        <v>0</v>
      </c>
      <c r="E20">
        <v>6.4019999999999994E-2</v>
      </c>
      <c r="F20">
        <v>0</v>
      </c>
      <c r="G20">
        <v>37.620000000000005</v>
      </c>
      <c r="H20">
        <v>0</v>
      </c>
    </row>
    <row r="21" spans="1:8" x14ac:dyDescent="0.35">
      <c r="A21" s="1">
        <v>44427.197915567129</v>
      </c>
      <c r="C21">
        <v>0</v>
      </c>
      <c r="D21">
        <v>0</v>
      </c>
      <c r="E21">
        <v>6.4019999999999994E-2</v>
      </c>
      <c r="F21">
        <v>0</v>
      </c>
      <c r="G21">
        <v>37.620000000000005</v>
      </c>
      <c r="H21">
        <v>0</v>
      </c>
    </row>
    <row r="22" spans="1:8" x14ac:dyDescent="0.35">
      <c r="A22" s="1">
        <v>44427.208332175927</v>
      </c>
      <c r="C22">
        <v>0</v>
      </c>
      <c r="D22">
        <v>0</v>
      </c>
      <c r="E22">
        <v>6.4019999999999994E-2</v>
      </c>
      <c r="F22">
        <v>0</v>
      </c>
      <c r="G22">
        <v>37.620000000000005</v>
      </c>
      <c r="H22">
        <v>0</v>
      </c>
    </row>
    <row r="23" spans="1:8" x14ac:dyDescent="0.35">
      <c r="A23" s="1">
        <v>44427.218748784719</v>
      </c>
      <c r="C23">
        <v>0</v>
      </c>
      <c r="D23">
        <v>0</v>
      </c>
      <c r="E23">
        <v>6.4019999999999994E-2</v>
      </c>
      <c r="F23">
        <v>0</v>
      </c>
      <c r="G23">
        <v>37.620000000000005</v>
      </c>
      <c r="H23">
        <v>0</v>
      </c>
    </row>
    <row r="24" spans="1:8" x14ac:dyDescent="0.35">
      <c r="A24" s="1">
        <v>44427.229165393517</v>
      </c>
      <c r="C24">
        <v>0</v>
      </c>
      <c r="D24">
        <v>0</v>
      </c>
      <c r="E24">
        <v>6.4019999999999994E-2</v>
      </c>
      <c r="F24">
        <v>0</v>
      </c>
      <c r="G24">
        <v>37.620000000000005</v>
      </c>
      <c r="H24">
        <v>0</v>
      </c>
    </row>
    <row r="25" spans="1:8" x14ac:dyDescent="0.35">
      <c r="A25" s="1">
        <v>44427.239582002316</v>
      </c>
      <c r="C25">
        <v>0</v>
      </c>
      <c r="D25">
        <v>0</v>
      </c>
      <c r="E25">
        <v>6.4019999999999994E-2</v>
      </c>
      <c r="F25">
        <v>0</v>
      </c>
      <c r="G25">
        <v>37.620000000000005</v>
      </c>
      <c r="H25">
        <v>0</v>
      </c>
    </row>
    <row r="26" spans="1:8" x14ac:dyDescent="0.35">
      <c r="A26" s="1">
        <v>44427.249998611114</v>
      </c>
      <c r="C26">
        <v>0</v>
      </c>
      <c r="D26">
        <v>0</v>
      </c>
      <c r="E26">
        <v>6.4019999999999994E-2</v>
      </c>
      <c r="F26">
        <v>0</v>
      </c>
      <c r="G26">
        <v>37.620000000000005</v>
      </c>
      <c r="H26">
        <v>0</v>
      </c>
    </row>
    <row r="27" spans="1:8" x14ac:dyDescent="0.35">
      <c r="A27" s="1">
        <v>44427.260415219906</v>
      </c>
      <c r="C27">
        <v>0</v>
      </c>
      <c r="D27">
        <v>0</v>
      </c>
      <c r="E27">
        <v>6.4019999999999994E-2</v>
      </c>
      <c r="F27">
        <v>0</v>
      </c>
      <c r="G27">
        <v>37.620000000000005</v>
      </c>
      <c r="H27">
        <v>0</v>
      </c>
    </row>
    <row r="28" spans="1:8" x14ac:dyDescent="0.35">
      <c r="A28" s="1">
        <v>44427.270831828704</v>
      </c>
      <c r="C28">
        <v>0</v>
      </c>
      <c r="D28">
        <v>0</v>
      </c>
      <c r="E28">
        <v>6.4019999999999994E-2</v>
      </c>
      <c r="F28">
        <v>0</v>
      </c>
      <c r="G28">
        <v>37.620000000000005</v>
      </c>
      <c r="H28">
        <v>0</v>
      </c>
    </row>
    <row r="29" spans="1:8" x14ac:dyDescent="0.35">
      <c r="A29" s="1">
        <v>44427.281248437503</v>
      </c>
      <c r="C29">
        <v>0</v>
      </c>
      <c r="D29">
        <v>0</v>
      </c>
      <c r="E29">
        <v>6.4019999999999994E-2</v>
      </c>
      <c r="F29">
        <v>0</v>
      </c>
      <c r="G29">
        <v>37.620000000000005</v>
      </c>
      <c r="H29">
        <v>0</v>
      </c>
    </row>
    <row r="30" spans="1:8" x14ac:dyDescent="0.35">
      <c r="A30" s="1">
        <v>44427.291665046294</v>
      </c>
      <c r="C30">
        <v>0</v>
      </c>
      <c r="D30">
        <v>0</v>
      </c>
      <c r="E30">
        <v>6.4019999999999994E-2</v>
      </c>
      <c r="F30">
        <v>0</v>
      </c>
      <c r="G30">
        <v>37.620000000000005</v>
      </c>
      <c r="H30">
        <v>0</v>
      </c>
    </row>
    <row r="31" spans="1:8" x14ac:dyDescent="0.35">
      <c r="A31" s="1">
        <v>44427.302081655092</v>
      </c>
      <c r="C31">
        <v>0</v>
      </c>
      <c r="D31">
        <v>0</v>
      </c>
      <c r="E31">
        <v>6.4019999999999994E-2</v>
      </c>
      <c r="F31">
        <v>0</v>
      </c>
      <c r="G31">
        <v>37.620000000000005</v>
      </c>
      <c r="H31">
        <v>0</v>
      </c>
    </row>
    <row r="32" spans="1:8" x14ac:dyDescent="0.35">
      <c r="A32" s="1">
        <v>44427.312498263891</v>
      </c>
      <c r="C32">
        <v>0</v>
      </c>
      <c r="D32">
        <v>0</v>
      </c>
      <c r="E32">
        <v>6.4019999999999994E-2</v>
      </c>
      <c r="F32">
        <v>0</v>
      </c>
      <c r="G32">
        <v>37.620000000000005</v>
      </c>
      <c r="H32">
        <v>0</v>
      </c>
    </row>
    <row r="33" spans="1:8" x14ac:dyDescent="0.35">
      <c r="A33" s="1">
        <v>44427.322914872682</v>
      </c>
      <c r="C33">
        <v>0</v>
      </c>
      <c r="D33">
        <v>0</v>
      </c>
      <c r="E33">
        <v>6.4019999999999994E-2</v>
      </c>
      <c r="F33">
        <v>0</v>
      </c>
      <c r="G33">
        <v>37.620000000000005</v>
      </c>
      <c r="H33">
        <v>0</v>
      </c>
    </row>
    <row r="34" spans="1:8" x14ac:dyDescent="0.35">
      <c r="A34" s="1">
        <v>44427.333331481481</v>
      </c>
      <c r="C34">
        <v>0</v>
      </c>
      <c r="D34">
        <v>0</v>
      </c>
      <c r="E34">
        <v>6.4019999999999994E-2</v>
      </c>
      <c r="F34">
        <v>0</v>
      </c>
      <c r="G34">
        <v>37.620000000000005</v>
      </c>
      <c r="H34">
        <v>0</v>
      </c>
    </row>
    <row r="35" spans="1:8" x14ac:dyDescent="0.35">
      <c r="A35" s="1">
        <v>44427.343748090279</v>
      </c>
      <c r="C35">
        <v>0</v>
      </c>
      <c r="D35">
        <v>0</v>
      </c>
      <c r="E35">
        <v>6.4019999999999994E-2</v>
      </c>
      <c r="F35">
        <v>0</v>
      </c>
      <c r="G35">
        <v>37.620000000000005</v>
      </c>
      <c r="H35">
        <v>0</v>
      </c>
    </row>
    <row r="36" spans="1:8" x14ac:dyDescent="0.35">
      <c r="A36" s="1">
        <v>44427.354164699071</v>
      </c>
      <c r="C36">
        <v>0</v>
      </c>
      <c r="D36">
        <v>0</v>
      </c>
      <c r="E36">
        <v>6.4019999999999994E-2</v>
      </c>
      <c r="F36">
        <v>0</v>
      </c>
      <c r="G36">
        <v>37.620000000000005</v>
      </c>
      <c r="H36">
        <v>0</v>
      </c>
    </row>
    <row r="37" spans="1:8" x14ac:dyDescent="0.35">
      <c r="A37" s="1">
        <v>44427.364581307869</v>
      </c>
      <c r="C37">
        <v>0</v>
      </c>
      <c r="D37">
        <v>0</v>
      </c>
      <c r="E37">
        <v>6.4019999999999994E-2</v>
      </c>
      <c r="F37">
        <v>0</v>
      </c>
      <c r="G37">
        <v>37.620000000000005</v>
      </c>
      <c r="H37">
        <v>0</v>
      </c>
    </row>
    <row r="38" spans="1:8" x14ac:dyDescent="0.35">
      <c r="A38" s="1">
        <v>44427.374997916668</v>
      </c>
      <c r="C38">
        <v>0</v>
      </c>
      <c r="D38">
        <v>0</v>
      </c>
      <c r="E38">
        <v>6.4019999999999994E-2</v>
      </c>
      <c r="F38">
        <v>0</v>
      </c>
      <c r="G38">
        <v>37.620000000000005</v>
      </c>
      <c r="H38">
        <v>0</v>
      </c>
    </row>
    <row r="39" spans="1:8" x14ac:dyDescent="0.35">
      <c r="A39" s="1">
        <v>44427.385414525466</v>
      </c>
      <c r="C39">
        <v>0</v>
      </c>
      <c r="D39">
        <v>0</v>
      </c>
      <c r="E39">
        <v>6.4019999999999994E-2</v>
      </c>
      <c r="F39">
        <v>0</v>
      </c>
      <c r="G39">
        <v>37.620000000000005</v>
      </c>
      <c r="H39">
        <v>0</v>
      </c>
    </row>
    <row r="40" spans="1:8" x14ac:dyDescent="0.35">
      <c r="A40" s="1">
        <v>44427.395831134258</v>
      </c>
      <c r="C40">
        <v>0</v>
      </c>
      <c r="D40">
        <v>0</v>
      </c>
      <c r="E40">
        <v>6.4019999999999994E-2</v>
      </c>
      <c r="F40">
        <v>0</v>
      </c>
      <c r="G40">
        <v>37.620000000000005</v>
      </c>
      <c r="H40">
        <v>0</v>
      </c>
    </row>
    <row r="41" spans="1:8" x14ac:dyDescent="0.35">
      <c r="A41" s="1">
        <v>44427.406247743056</v>
      </c>
      <c r="C41">
        <v>0</v>
      </c>
      <c r="D41">
        <v>0</v>
      </c>
      <c r="E41">
        <v>6.4019999999999994E-2</v>
      </c>
      <c r="F41">
        <v>0</v>
      </c>
      <c r="G41">
        <v>37.620000000000005</v>
      </c>
      <c r="H41">
        <v>0</v>
      </c>
    </row>
    <row r="42" spans="1:8" x14ac:dyDescent="0.35">
      <c r="A42" s="1">
        <v>44427.416664351855</v>
      </c>
      <c r="C42">
        <v>0</v>
      </c>
      <c r="D42">
        <v>0</v>
      </c>
      <c r="E42">
        <v>6.4019999999999994E-2</v>
      </c>
      <c r="F42">
        <v>0</v>
      </c>
      <c r="G42">
        <v>37.620000000000005</v>
      </c>
      <c r="H42">
        <v>0</v>
      </c>
    </row>
    <row r="43" spans="1:8" x14ac:dyDescent="0.35">
      <c r="A43" s="1">
        <v>44427.427080960646</v>
      </c>
      <c r="C43">
        <v>0</v>
      </c>
      <c r="D43">
        <v>0</v>
      </c>
      <c r="E43">
        <v>6.4019999999999994E-2</v>
      </c>
      <c r="F43">
        <v>0</v>
      </c>
      <c r="G43">
        <v>37.620000000000005</v>
      </c>
      <c r="H43">
        <v>0</v>
      </c>
    </row>
    <row r="44" spans="1:8" x14ac:dyDescent="0.35">
      <c r="A44" s="1">
        <v>44427.437497569445</v>
      </c>
      <c r="C44">
        <v>0</v>
      </c>
      <c r="D44">
        <v>0</v>
      </c>
      <c r="E44">
        <v>6.4019999999999994E-2</v>
      </c>
      <c r="F44">
        <v>0</v>
      </c>
      <c r="G44">
        <v>37.620000000000005</v>
      </c>
      <c r="H44">
        <v>0</v>
      </c>
    </row>
    <row r="45" spans="1:8" x14ac:dyDescent="0.35">
      <c r="A45" s="1">
        <v>44427.447914178243</v>
      </c>
      <c r="C45">
        <v>0</v>
      </c>
      <c r="D45">
        <v>0</v>
      </c>
      <c r="E45">
        <v>6.4019999999999994E-2</v>
      </c>
      <c r="F45">
        <v>0</v>
      </c>
      <c r="G45">
        <v>37.620000000000005</v>
      </c>
      <c r="H45">
        <v>0</v>
      </c>
    </row>
    <row r="46" spans="1:8" x14ac:dyDescent="0.35">
      <c r="A46" s="1">
        <v>44427.458330787034</v>
      </c>
      <c r="C46">
        <v>0</v>
      </c>
      <c r="D46">
        <v>0</v>
      </c>
      <c r="E46">
        <v>6.4019999999999994E-2</v>
      </c>
      <c r="F46">
        <v>0</v>
      </c>
      <c r="G46">
        <v>37.620000000000005</v>
      </c>
      <c r="H46">
        <v>0</v>
      </c>
    </row>
    <row r="47" spans="1:8" x14ac:dyDescent="0.35">
      <c r="A47" s="1">
        <v>44427.468747395833</v>
      </c>
      <c r="C47">
        <v>0</v>
      </c>
      <c r="D47">
        <v>0</v>
      </c>
      <c r="E47">
        <v>6.4019999999999994E-2</v>
      </c>
      <c r="F47">
        <v>0</v>
      </c>
      <c r="G47">
        <v>37.620000000000005</v>
      </c>
      <c r="H47">
        <v>0</v>
      </c>
    </row>
    <row r="48" spans="1:8" x14ac:dyDescent="0.35">
      <c r="A48" s="1">
        <v>44427.479164004631</v>
      </c>
      <c r="C48">
        <v>0</v>
      </c>
      <c r="D48">
        <v>0</v>
      </c>
      <c r="E48">
        <v>6.4019999999999994E-2</v>
      </c>
      <c r="F48">
        <v>0</v>
      </c>
      <c r="G48">
        <v>37.620000000000005</v>
      </c>
      <c r="H48">
        <v>0</v>
      </c>
    </row>
    <row r="49" spans="1:8" x14ac:dyDescent="0.35">
      <c r="A49" s="1">
        <v>44427.489580613423</v>
      </c>
      <c r="C49">
        <v>0</v>
      </c>
      <c r="D49">
        <v>0</v>
      </c>
      <c r="E49">
        <v>6.4019999999999994E-2</v>
      </c>
      <c r="F49">
        <v>0</v>
      </c>
      <c r="G49">
        <v>37.620000000000005</v>
      </c>
      <c r="H49">
        <v>0</v>
      </c>
    </row>
    <row r="50" spans="1:8" x14ac:dyDescent="0.35">
      <c r="A50" s="1">
        <v>44427.499997222221</v>
      </c>
      <c r="C50">
        <v>0</v>
      </c>
      <c r="D50">
        <v>0</v>
      </c>
      <c r="E50">
        <v>6.4019999999999994E-2</v>
      </c>
      <c r="F50">
        <v>0</v>
      </c>
      <c r="G50">
        <v>37.620000000000005</v>
      </c>
      <c r="H50">
        <v>0</v>
      </c>
    </row>
    <row r="51" spans="1:8" x14ac:dyDescent="0.35">
      <c r="A51" s="1">
        <v>44427.51041383102</v>
      </c>
      <c r="C51">
        <v>0</v>
      </c>
      <c r="D51">
        <v>0</v>
      </c>
      <c r="E51">
        <v>6.4019999999999994E-2</v>
      </c>
      <c r="F51">
        <v>0</v>
      </c>
      <c r="G51">
        <v>37.620000000000005</v>
      </c>
      <c r="H51">
        <v>0</v>
      </c>
    </row>
    <row r="52" spans="1:8" x14ac:dyDescent="0.35">
      <c r="A52" s="1">
        <v>44427.520830439818</v>
      </c>
      <c r="C52">
        <v>0</v>
      </c>
      <c r="D52">
        <v>0</v>
      </c>
      <c r="E52">
        <v>6.4019999999999994E-2</v>
      </c>
      <c r="F52">
        <v>0</v>
      </c>
      <c r="G52">
        <v>37.620000000000005</v>
      </c>
      <c r="H52">
        <v>0</v>
      </c>
    </row>
    <row r="53" spans="1:8" x14ac:dyDescent="0.35">
      <c r="A53" s="1">
        <v>44427.53124704861</v>
      </c>
      <c r="C53">
        <v>0</v>
      </c>
      <c r="D53">
        <v>0</v>
      </c>
      <c r="E53">
        <v>6.4019999999999994E-2</v>
      </c>
      <c r="F53">
        <v>0</v>
      </c>
      <c r="G53">
        <v>37.620000000000005</v>
      </c>
      <c r="H53">
        <v>0</v>
      </c>
    </row>
    <row r="54" spans="1:8" x14ac:dyDescent="0.35">
      <c r="A54" s="1">
        <v>44427.541663657408</v>
      </c>
      <c r="C54">
        <v>0</v>
      </c>
      <c r="D54">
        <v>0</v>
      </c>
      <c r="E54">
        <v>6.4019999999999994E-2</v>
      </c>
      <c r="F54">
        <v>0</v>
      </c>
      <c r="G54">
        <v>37.620000000000005</v>
      </c>
      <c r="H54">
        <v>0</v>
      </c>
    </row>
    <row r="55" spans="1:8" x14ac:dyDescent="0.35">
      <c r="A55" s="1">
        <v>44427.552080266207</v>
      </c>
      <c r="C55">
        <v>0</v>
      </c>
      <c r="D55">
        <v>0</v>
      </c>
      <c r="E55">
        <v>6.4019999999999994E-2</v>
      </c>
      <c r="F55">
        <v>0</v>
      </c>
      <c r="G55">
        <v>37.620000000000005</v>
      </c>
      <c r="H55">
        <v>0</v>
      </c>
    </row>
    <row r="56" spans="1:8" x14ac:dyDescent="0.35">
      <c r="A56" s="1">
        <v>44427.562496874998</v>
      </c>
      <c r="C56">
        <v>0</v>
      </c>
      <c r="D56">
        <v>0</v>
      </c>
      <c r="E56">
        <v>6.4019999999999994E-2</v>
      </c>
      <c r="F56">
        <v>0</v>
      </c>
      <c r="G56">
        <v>37.620000000000005</v>
      </c>
      <c r="H56">
        <v>0</v>
      </c>
    </row>
    <row r="57" spans="1:8" x14ac:dyDescent="0.35">
      <c r="A57" s="1">
        <v>44427.572913483797</v>
      </c>
      <c r="C57">
        <v>0</v>
      </c>
      <c r="D57">
        <v>0</v>
      </c>
      <c r="E57">
        <v>6.4019999999999994E-2</v>
      </c>
      <c r="F57">
        <v>0</v>
      </c>
      <c r="G57">
        <v>37.620000000000005</v>
      </c>
      <c r="H57">
        <v>0</v>
      </c>
    </row>
    <row r="58" spans="1:8" x14ac:dyDescent="0.35">
      <c r="A58" s="1">
        <v>44427.583330092595</v>
      </c>
      <c r="C58">
        <v>0</v>
      </c>
      <c r="D58">
        <v>0</v>
      </c>
      <c r="E58">
        <v>6.4019999999999994E-2</v>
      </c>
      <c r="F58">
        <v>0</v>
      </c>
      <c r="G58">
        <v>37.620000000000005</v>
      </c>
      <c r="H58">
        <v>0</v>
      </c>
    </row>
    <row r="59" spans="1:8" x14ac:dyDescent="0.35">
      <c r="A59" s="1">
        <v>44427.593746701386</v>
      </c>
      <c r="C59">
        <v>0</v>
      </c>
      <c r="D59">
        <v>0</v>
      </c>
      <c r="E59">
        <v>6.4019999999999994E-2</v>
      </c>
      <c r="F59">
        <v>0</v>
      </c>
      <c r="G59">
        <v>37.620000000000005</v>
      </c>
      <c r="H59">
        <v>0</v>
      </c>
    </row>
    <row r="60" spans="1:8" x14ac:dyDescent="0.35">
      <c r="A60" s="1">
        <v>44427.604163310185</v>
      </c>
      <c r="C60">
        <v>0</v>
      </c>
      <c r="D60">
        <v>0</v>
      </c>
      <c r="E60">
        <v>6.4019999999999994E-2</v>
      </c>
      <c r="F60">
        <v>0</v>
      </c>
      <c r="G60">
        <v>37.620000000000005</v>
      </c>
      <c r="H60">
        <v>0</v>
      </c>
    </row>
    <row r="61" spans="1:8" x14ac:dyDescent="0.35">
      <c r="A61" s="1">
        <v>44427.614579918984</v>
      </c>
      <c r="C61">
        <v>0</v>
      </c>
      <c r="D61">
        <v>0</v>
      </c>
      <c r="E61">
        <v>6.4019999999999994E-2</v>
      </c>
      <c r="F61">
        <v>0</v>
      </c>
      <c r="G61">
        <v>37.620000000000005</v>
      </c>
      <c r="H61">
        <v>0</v>
      </c>
    </row>
    <row r="62" spans="1:8" x14ac:dyDescent="0.35">
      <c r="A62" s="1">
        <v>44427.624996527775</v>
      </c>
      <c r="C62">
        <v>0</v>
      </c>
      <c r="D62">
        <v>0</v>
      </c>
      <c r="E62">
        <v>6.4019999999999994E-2</v>
      </c>
      <c r="F62">
        <v>0</v>
      </c>
      <c r="G62">
        <v>37.620000000000005</v>
      </c>
      <c r="H62">
        <v>0</v>
      </c>
    </row>
    <row r="63" spans="1:8" x14ac:dyDescent="0.35">
      <c r="A63" s="1">
        <v>44427.635413136573</v>
      </c>
      <c r="C63">
        <v>0</v>
      </c>
      <c r="D63">
        <v>0</v>
      </c>
      <c r="E63">
        <v>6.4019999999999994E-2</v>
      </c>
      <c r="F63">
        <v>0</v>
      </c>
      <c r="G63">
        <v>37.620000000000005</v>
      </c>
      <c r="H63">
        <v>0</v>
      </c>
    </row>
    <row r="64" spans="1:8" x14ac:dyDescent="0.35">
      <c r="A64" s="1">
        <v>44427.645829745372</v>
      </c>
      <c r="C64">
        <v>0</v>
      </c>
      <c r="D64">
        <v>0</v>
      </c>
      <c r="E64">
        <v>6.4019999999999994E-2</v>
      </c>
      <c r="F64">
        <v>0</v>
      </c>
      <c r="G64">
        <v>37.620000000000005</v>
      </c>
      <c r="H64">
        <v>0</v>
      </c>
    </row>
    <row r="65" spans="1:8" x14ac:dyDescent="0.35">
      <c r="A65" s="1">
        <v>44427.656246354163</v>
      </c>
      <c r="C65">
        <v>0</v>
      </c>
      <c r="D65">
        <v>0</v>
      </c>
      <c r="E65">
        <v>6.4019999999999994E-2</v>
      </c>
      <c r="F65">
        <v>0</v>
      </c>
      <c r="G65">
        <v>37.620000000000005</v>
      </c>
      <c r="H65">
        <v>0</v>
      </c>
    </row>
    <row r="66" spans="1:8" x14ac:dyDescent="0.35">
      <c r="A66" s="1">
        <v>44427.666662962962</v>
      </c>
      <c r="C66">
        <v>0</v>
      </c>
      <c r="D66">
        <v>0</v>
      </c>
      <c r="E66">
        <v>6.4019999999999994E-2</v>
      </c>
      <c r="F66">
        <v>0</v>
      </c>
      <c r="G66">
        <v>37.620000000000005</v>
      </c>
      <c r="H66">
        <v>0</v>
      </c>
    </row>
    <row r="67" spans="1:8" x14ac:dyDescent="0.35">
      <c r="A67" s="1">
        <v>44427.67707957176</v>
      </c>
      <c r="C67">
        <v>0</v>
      </c>
      <c r="D67">
        <v>0</v>
      </c>
      <c r="E67">
        <v>6.4019999999999994E-2</v>
      </c>
      <c r="F67">
        <v>0</v>
      </c>
      <c r="G67">
        <v>37.620000000000005</v>
      </c>
      <c r="H67">
        <v>0</v>
      </c>
    </row>
    <row r="68" spans="1:8" x14ac:dyDescent="0.35">
      <c r="A68" s="1">
        <v>44427.687496180559</v>
      </c>
      <c r="C68">
        <v>0</v>
      </c>
      <c r="D68">
        <v>0</v>
      </c>
      <c r="E68">
        <v>6.4019999999999994E-2</v>
      </c>
      <c r="F68">
        <v>0</v>
      </c>
      <c r="G68">
        <v>37.620000000000005</v>
      </c>
      <c r="H68">
        <v>0</v>
      </c>
    </row>
    <row r="69" spans="1:8" x14ac:dyDescent="0.35">
      <c r="A69" s="1">
        <v>44427.69791278935</v>
      </c>
      <c r="C69">
        <v>0</v>
      </c>
      <c r="D69">
        <v>0</v>
      </c>
      <c r="E69">
        <v>6.4019999999999994E-2</v>
      </c>
      <c r="F69">
        <v>0</v>
      </c>
      <c r="G69">
        <v>37.620000000000005</v>
      </c>
      <c r="H69">
        <v>0</v>
      </c>
    </row>
    <row r="70" spans="1:8" x14ac:dyDescent="0.35">
      <c r="A70" s="1">
        <v>44427.708329398149</v>
      </c>
      <c r="C70">
        <v>9.9000000000000005E-2</v>
      </c>
      <c r="D70">
        <v>0</v>
      </c>
      <c r="F70">
        <v>0</v>
      </c>
      <c r="G70">
        <v>37.620000000000005</v>
      </c>
      <c r="H70">
        <v>12.11</v>
      </c>
    </row>
    <row r="71" spans="1:8" x14ac:dyDescent="0.35">
      <c r="A71" s="1">
        <v>44427.718746006947</v>
      </c>
      <c r="C71">
        <v>9.9000000000000005E-2</v>
      </c>
      <c r="D71">
        <v>0</v>
      </c>
      <c r="F71">
        <v>0</v>
      </c>
      <c r="G71">
        <v>37.620000000000005</v>
      </c>
      <c r="H71">
        <v>12.11</v>
      </c>
    </row>
    <row r="72" spans="1:8" x14ac:dyDescent="0.35">
      <c r="A72" s="1">
        <v>44427.729162615738</v>
      </c>
      <c r="C72">
        <v>9.9000000000000005E-2</v>
      </c>
      <c r="D72">
        <v>0</v>
      </c>
      <c r="F72">
        <v>0</v>
      </c>
      <c r="G72">
        <v>37.620000000000005</v>
      </c>
      <c r="H72">
        <v>12.11</v>
      </c>
    </row>
    <row r="73" spans="1:8" x14ac:dyDescent="0.35">
      <c r="A73" s="1">
        <v>44427.739579224537</v>
      </c>
      <c r="C73">
        <v>9.9000000000000005E-2</v>
      </c>
      <c r="D73">
        <v>0</v>
      </c>
      <c r="F73">
        <v>0</v>
      </c>
      <c r="G73">
        <v>37.620000000000005</v>
      </c>
      <c r="H73">
        <v>12.11</v>
      </c>
    </row>
    <row r="74" spans="1:8" x14ac:dyDescent="0.35">
      <c r="A74" s="1">
        <v>44427.749995833336</v>
      </c>
      <c r="C74">
        <v>9.9000000000000005E-2</v>
      </c>
      <c r="D74">
        <v>0</v>
      </c>
      <c r="F74">
        <v>0</v>
      </c>
      <c r="G74">
        <v>37.620000000000005</v>
      </c>
      <c r="H74">
        <v>12.11</v>
      </c>
    </row>
    <row r="75" spans="1:8" x14ac:dyDescent="0.35">
      <c r="A75" s="1">
        <v>44427.760412442127</v>
      </c>
      <c r="C75">
        <v>9.9000000000000005E-2</v>
      </c>
      <c r="D75">
        <v>0</v>
      </c>
      <c r="F75">
        <v>0</v>
      </c>
      <c r="G75">
        <v>37.620000000000005</v>
      </c>
      <c r="H75">
        <v>12.11</v>
      </c>
    </row>
    <row r="76" spans="1:8" x14ac:dyDescent="0.35">
      <c r="A76" s="1">
        <v>44427.770829050925</v>
      </c>
      <c r="C76">
        <v>9.9000000000000005E-2</v>
      </c>
      <c r="D76">
        <v>0</v>
      </c>
      <c r="F76">
        <v>0</v>
      </c>
      <c r="G76">
        <v>37.620000000000005</v>
      </c>
      <c r="H76">
        <v>12.11</v>
      </c>
    </row>
    <row r="77" spans="1:8" x14ac:dyDescent="0.35">
      <c r="A77" s="1">
        <v>44427.781245659724</v>
      </c>
      <c r="C77">
        <v>9.9000000000000005E-2</v>
      </c>
      <c r="D77">
        <v>0</v>
      </c>
      <c r="F77">
        <v>0</v>
      </c>
      <c r="G77">
        <v>37.620000000000005</v>
      </c>
      <c r="H77">
        <v>12.11</v>
      </c>
    </row>
    <row r="78" spans="1:8" x14ac:dyDescent="0.35">
      <c r="A78" s="1">
        <v>44427.791662268515</v>
      </c>
      <c r="C78">
        <v>9.9000000000000005E-2</v>
      </c>
      <c r="D78">
        <v>0</v>
      </c>
      <c r="F78">
        <v>0</v>
      </c>
      <c r="G78">
        <v>37.620000000000005</v>
      </c>
      <c r="H78">
        <v>12.11</v>
      </c>
    </row>
    <row r="79" spans="1:8" x14ac:dyDescent="0.35">
      <c r="A79" s="1">
        <v>44427.802078877314</v>
      </c>
      <c r="C79">
        <v>9.9000000000000005E-2</v>
      </c>
      <c r="D79">
        <v>0</v>
      </c>
      <c r="F79">
        <v>0</v>
      </c>
      <c r="G79">
        <v>37.620000000000005</v>
      </c>
      <c r="H79">
        <v>12.11</v>
      </c>
    </row>
    <row r="80" spans="1:8" x14ac:dyDescent="0.35">
      <c r="A80" s="1">
        <v>44427.812495486112</v>
      </c>
      <c r="C80">
        <v>9.9000000000000005E-2</v>
      </c>
      <c r="D80">
        <v>0</v>
      </c>
      <c r="F80">
        <v>0</v>
      </c>
      <c r="G80">
        <v>37.620000000000005</v>
      </c>
      <c r="H80">
        <v>12.11</v>
      </c>
    </row>
    <row r="81" spans="1:8" x14ac:dyDescent="0.35">
      <c r="A81" s="1">
        <v>44427.822912094911</v>
      </c>
      <c r="C81">
        <v>9.9000000000000005E-2</v>
      </c>
      <c r="D81">
        <v>0</v>
      </c>
      <c r="F81">
        <v>0</v>
      </c>
      <c r="G81">
        <v>37.620000000000005</v>
      </c>
      <c r="H81">
        <v>12.11</v>
      </c>
    </row>
    <row r="82" spans="1:8" x14ac:dyDescent="0.35">
      <c r="A82" s="1">
        <v>44427.833328703702</v>
      </c>
      <c r="C82">
        <v>9.9000000000000005E-2</v>
      </c>
      <c r="D82">
        <v>0</v>
      </c>
      <c r="F82">
        <v>0</v>
      </c>
      <c r="G82">
        <v>37.620000000000005</v>
      </c>
      <c r="H82">
        <v>12.11</v>
      </c>
    </row>
    <row r="83" spans="1:8" x14ac:dyDescent="0.35">
      <c r="A83" s="1">
        <v>44427.843745312501</v>
      </c>
      <c r="C83">
        <v>9.9000000000000005E-2</v>
      </c>
      <c r="D83">
        <v>0</v>
      </c>
      <c r="F83">
        <v>0</v>
      </c>
      <c r="G83">
        <v>37.620000000000005</v>
      </c>
      <c r="H83">
        <v>12.11</v>
      </c>
    </row>
    <row r="84" spans="1:8" x14ac:dyDescent="0.35">
      <c r="A84" s="1">
        <v>44427.854161921299</v>
      </c>
      <c r="C84">
        <v>9.9000000000000005E-2</v>
      </c>
      <c r="D84">
        <v>0</v>
      </c>
      <c r="F84">
        <v>0</v>
      </c>
      <c r="G84">
        <v>37.620000000000005</v>
      </c>
      <c r="H84">
        <v>12.11</v>
      </c>
    </row>
    <row r="85" spans="1:8" x14ac:dyDescent="0.35">
      <c r="A85" s="1">
        <v>44427.864578530091</v>
      </c>
      <c r="C85">
        <v>9.9000000000000005E-2</v>
      </c>
      <c r="D85">
        <v>0</v>
      </c>
      <c r="F85">
        <v>0</v>
      </c>
      <c r="G85">
        <v>37.620000000000005</v>
      </c>
      <c r="H85">
        <v>12.11</v>
      </c>
    </row>
    <row r="86" spans="1:8" x14ac:dyDescent="0.35">
      <c r="A86" s="1">
        <v>44427.874995138889</v>
      </c>
      <c r="C86">
        <v>9.9000000000000005E-2</v>
      </c>
      <c r="D86">
        <v>0</v>
      </c>
      <c r="F86">
        <v>0</v>
      </c>
      <c r="G86">
        <v>37.620000000000005</v>
      </c>
      <c r="H86">
        <v>12.11</v>
      </c>
    </row>
    <row r="87" spans="1:8" x14ac:dyDescent="0.35">
      <c r="A87" s="1">
        <v>44427.885411747688</v>
      </c>
      <c r="C87">
        <v>9.9000000000000005E-2</v>
      </c>
      <c r="D87">
        <v>0</v>
      </c>
      <c r="F87">
        <v>0</v>
      </c>
      <c r="G87">
        <v>37.620000000000005</v>
      </c>
      <c r="H87">
        <v>12.11</v>
      </c>
    </row>
    <row r="88" spans="1:8" x14ac:dyDescent="0.35">
      <c r="A88" s="1">
        <v>44427.895828356479</v>
      </c>
      <c r="C88">
        <v>9.9000000000000005E-2</v>
      </c>
      <c r="D88">
        <v>0</v>
      </c>
      <c r="F88">
        <v>0</v>
      </c>
      <c r="G88">
        <v>37.620000000000005</v>
      </c>
      <c r="H88">
        <v>12.11</v>
      </c>
    </row>
    <row r="89" spans="1:8" x14ac:dyDescent="0.35">
      <c r="A89" s="1">
        <v>44427.906244965277</v>
      </c>
      <c r="C89">
        <v>9.9000000000000005E-2</v>
      </c>
      <c r="D89">
        <v>0</v>
      </c>
      <c r="F89">
        <v>0</v>
      </c>
      <c r="G89">
        <v>37.620000000000005</v>
      </c>
      <c r="H89">
        <v>12.11</v>
      </c>
    </row>
    <row r="90" spans="1:8" x14ac:dyDescent="0.35">
      <c r="A90" s="1">
        <v>44427.916661574076</v>
      </c>
      <c r="C90">
        <v>0</v>
      </c>
      <c r="D90">
        <v>0</v>
      </c>
      <c r="E90">
        <v>6.4019999999999994E-2</v>
      </c>
      <c r="F90">
        <v>0</v>
      </c>
      <c r="G90">
        <v>37.620000000000005</v>
      </c>
      <c r="H90">
        <v>0</v>
      </c>
    </row>
    <row r="91" spans="1:8" x14ac:dyDescent="0.35">
      <c r="A91" s="1">
        <v>44427.927078182867</v>
      </c>
      <c r="C91">
        <v>0</v>
      </c>
      <c r="D91">
        <v>0</v>
      </c>
      <c r="E91">
        <v>6.4019999999999994E-2</v>
      </c>
      <c r="F91">
        <v>0</v>
      </c>
      <c r="G91">
        <v>37.620000000000005</v>
      </c>
      <c r="H91">
        <v>0</v>
      </c>
    </row>
    <row r="92" spans="1:8" x14ac:dyDescent="0.35">
      <c r="A92" s="1">
        <v>44427.937494791666</v>
      </c>
      <c r="C92">
        <v>0</v>
      </c>
      <c r="D92">
        <v>0</v>
      </c>
      <c r="E92">
        <v>6.4019999999999994E-2</v>
      </c>
      <c r="F92">
        <v>0</v>
      </c>
      <c r="G92">
        <v>37.620000000000005</v>
      </c>
      <c r="H92">
        <v>0</v>
      </c>
    </row>
    <row r="93" spans="1:8" x14ac:dyDescent="0.35">
      <c r="A93" s="1">
        <v>44427.947911400464</v>
      </c>
      <c r="C93">
        <v>0</v>
      </c>
      <c r="D93">
        <v>0</v>
      </c>
      <c r="E93">
        <v>6.4019999999999994E-2</v>
      </c>
      <c r="F93">
        <v>0</v>
      </c>
      <c r="G93">
        <v>37.620000000000005</v>
      </c>
      <c r="H93">
        <v>0</v>
      </c>
    </row>
    <row r="94" spans="1:8" x14ac:dyDescent="0.35">
      <c r="A94" s="1">
        <v>44427.958328009256</v>
      </c>
      <c r="C94">
        <v>0</v>
      </c>
      <c r="D94">
        <v>0</v>
      </c>
      <c r="E94">
        <v>6.4019999999999994E-2</v>
      </c>
      <c r="F94">
        <v>0</v>
      </c>
      <c r="G94">
        <v>37.620000000000005</v>
      </c>
      <c r="H94">
        <v>0</v>
      </c>
    </row>
    <row r="95" spans="1:8" x14ac:dyDescent="0.35">
      <c r="A95" s="1">
        <v>44427.968744618054</v>
      </c>
      <c r="C95">
        <v>0</v>
      </c>
      <c r="D95">
        <v>0</v>
      </c>
      <c r="E95">
        <v>6.4019999999999994E-2</v>
      </c>
      <c r="F95">
        <v>0</v>
      </c>
      <c r="G95">
        <v>37.620000000000005</v>
      </c>
      <c r="H95">
        <v>0</v>
      </c>
    </row>
    <row r="96" spans="1:8" x14ac:dyDescent="0.35">
      <c r="A96" s="1">
        <v>44427.979161226853</v>
      </c>
      <c r="C96">
        <v>0</v>
      </c>
      <c r="D96">
        <v>0</v>
      </c>
      <c r="E96">
        <v>6.4019999999999994E-2</v>
      </c>
      <c r="F96">
        <v>0</v>
      </c>
      <c r="G96">
        <v>37.620000000000005</v>
      </c>
      <c r="H96">
        <v>0</v>
      </c>
    </row>
    <row r="97" spans="1:8" x14ac:dyDescent="0.35">
      <c r="A97" s="1">
        <v>44427.989577835651</v>
      </c>
      <c r="C97">
        <v>0</v>
      </c>
      <c r="D97">
        <v>0</v>
      </c>
      <c r="E97">
        <v>6.4019999999999994E-2</v>
      </c>
      <c r="F97">
        <v>0</v>
      </c>
      <c r="G97">
        <v>37.620000000000005</v>
      </c>
      <c r="H97">
        <v>0</v>
      </c>
    </row>
    <row r="98" spans="1:8" x14ac:dyDescent="0.35">
      <c r="A98" s="1"/>
    </row>
    <row r="99" spans="1:8" x14ac:dyDescent="0.35">
      <c r="A99" s="1"/>
    </row>
    <row r="100" spans="1:8" x14ac:dyDescent="0.35">
      <c r="A100" s="1"/>
    </row>
    <row r="101" spans="1:8" x14ac:dyDescent="0.35">
      <c r="A101" s="1"/>
    </row>
    <row r="102" spans="1:8" x14ac:dyDescent="0.35">
      <c r="A102" s="1"/>
    </row>
    <row r="103" spans="1:8" x14ac:dyDescent="0.35">
      <c r="A103" s="1"/>
    </row>
    <row r="104" spans="1:8" x14ac:dyDescent="0.35">
      <c r="A104" s="1"/>
    </row>
    <row r="105" spans="1:8" x14ac:dyDescent="0.35">
      <c r="A105" s="1"/>
    </row>
    <row r="106" spans="1:8" x14ac:dyDescent="0.35">
      <c r="A106" s="1"/>
    </row>
    <row r="107" spans="1:8" x14ac:dyDescent="0.35">
      <c r="A107" s="1"/>
    </row>
    <row r="108" spans="1:8" x14ac:dyDescent="0.35">
      <c r="A108" s="1"/>
    </row>
    <row r="109" spans="1:8" x14ac:dyDescent="0.35">
      <c r="A109" s="1"/>
    </row>
    <row r="110" spans="1:8" x14ac:dyDescent="0.35">
      <c r="A110" s="1"/>
    </row>
    <row r="111" spans="1:8" x14ac:dyDescent="0.35">
      <c r="A111" s="1"/>
    </row>
    <row r="112" spans="1:8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FC99-924A-41E7-A481-189A7BDC6A9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44D3-4272-43BD-B3CB-2B7779D60917}">
  <dimension ref="B2:T35"/>
  <sheetViews>
    <sheetView workbookViewId="0">
      <selection activeCell="C5" sqref="C5"/>
    </sheetView>
  </sheetViews>
  <sheetFormatPr defaultRowHeight="14.5" x14ac:dyDescent="0.35"/>
  <cols>
    <col min="2" max="2" width="13.90625" customWidth="1"/>
    <col min="5" max="5" width="13.54296875" customWidth="1"/>
    <col min="7" max="7" width="11.1796875" customWidth="1"/>
    <col min="8" max="8" width="21.36328125" customWidth="1"/>
    <col min="9" max="9" width="24" customWidth="1"/>
    <col min="10" max="10" width="18.08984375" customWidth="1"/>
    <col min="11" max="11" width="27.1796875" customWidth="1"/>
    <col min="14" max="14" width="22.08984375" customWidth="1"/>
  </cols>
  <sheetData>
    <row r="2" spans="2:20" x14ac:dyDescent="0.35">
      <c r="C2" s="4" t="s">
        <v>12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8"/>
    </row>
    <row r="4" spans="2:20" x14ac:dyDescent="0.35">
      <c r="B4" s="3" t="s">
        <v>8</v>
      </c>
      <c r="E4" s="3" t="s">
        <v>18</v>
      </c>
      <c r="F4" t="s">
        <v>9</v>
      </c>
      <c r="H4" t="s">
        <v>1</v>
      </c>
      <c r="I4" t="s">
        <v>3</v>
      </c>
      <c r="J4" t="s">
        <v>2</v>
      </c>
      <c r="K4" t="s">
        <v>4</v>
      </c>
      <c r="M4" s="3" t="s">
        <v>19</v>
      </c>
    </row>
    <row r="5" spans="2:20" x14ac:dyDescent="0.35">
      <c r="C5">
        <f>26823/30</f>
        <v>894.1</v>
      </c>
      <c r="F5" s="2">
        <v>1</v>
      </c>
      <c r="G5" s="2" t="s">
        <v>10</v>
      </c>
      <c r="H5">
        <v>0</v>
      </c>
      <c r="I5">
        <v>0</v>
      </c>
      <c r="J5">
        <v>1</v>
      </c>
      <c r="K5">
        <v>0</v>
      </c>
      <c r="N5" t="s">
        <v>20</v>
      </c>
      <c r="O5">
        <v>14.98</v>
      </c>
    </row>
    <row r="6" spans="2:20" x14ac:dyDescent="0.35">
      <c r="F6" s="2">
        <v>2</v>
      </c>
      <c r="G6" s="2" t="s">
        <v>10</v>
      </c>
      <c r="H6">
        <v>0</v>
      </c>
      <c r="I6">
        <v>0</v>
      </c>
      <c r="J6">
        <v>1</v>
      </c>
      <c r="K6">
        <v>0</v>
      </c>
      <c r="N6" t="s">
        <v>21</v>
      </c>
      <c r="O6">
        <v>22.64</v>
      </c>
    </row>
    <row r="7" spans="2:20" x14ac:dyDescent="0.35">
      <c r="F7" s="2">
        <v>3</v>
      </c>
      <c r="G7" s="2" t="s">
        <v>10</v>
      </c>
      <c r="H7">
        <v>0</v>
      </c>
      <c r="I7">
        <v>0</v>
      </c>
      <c r="J7">
        <v>1</v>
      </c>
      <c r="K7">
        <v>0</v>
      </c>
    </row>
    <row r="8" spans="2:20" x14ac:dyDescent="0.35">
      <c r="F8" s="2">
        <v>4</v>
      </c>
      <c r="G8" s="2" t="s">
        <v>10</v>
      </c>
      <c r="H8">
        <v>0</v>
      </c>
      <c r="I8">
        <v>0</v>
      </c>
      <c r="J8">
        <v>1</v>
      </c>
      <c r="K8">
        <v>0</v>
      </c>
      <c r="N8" t="s">
        <v>23</v>
      </c>
      <c r="O8">
        <f>SUM(O5:O6)</f>
        <v>37.620000000000005</v>
      </c>
    </row>
    <row r="9" spans="2:20" x14ac:dyDescent="0.35">
      <c r="F9" s="2">
        <v>5</v>
      </c>
      <c r="G9" s="2" t="s">
        <v>10</v>
      </c>
      <c r="H9">
        <v>0</v>
      </c>
      <c r="I9">
        <v>0</v>
      </c>
      <c r="J9">
        <v>1</v>
      </c>
      <c r="K9">
        <v>0</v>
      </c>
    </row>
    <row r="10" spans="2:20" x14ac:dyDescent="0.35">
      <c r="F10" s="2">
        <v>6</v>
      </c>
      <c r="G10" s="2" t="s">
        <v>10</v>
      </c>
      <c r="H10">
        <v>0</v>
      </c>
      <c r="I10">
        <v>0</v>
      </c>
      <c r="J10">
        <v>1</v>
      </c>
      <c r="K10">
        <v>0</v>
      </c>
      <c r="N10" t="s">
        <v>22</v>
      </c>
      <c r="O10">
        <v>12.11</v>
      </c>
    </row>
    <row r="11" spans="2:20" x14ac:dyDescent="0.35">
      <c r="F11" s="2">
        <v>7</v>
      </c>
      <c r="G11" s="2" t="s">
        <v>10</v>
      </c>
      <c r="H11">
        <v>0</v>
      </c>
      <c r="I11">
        <v>0</v>
      </c>
      <c r="J11">
        <v>1</v>
      </c>
      <c r="K11">
        <v>0</v>
      </c>
    </row>
    <row r="12" spans="2:20" x14ac:dyDescent="0.35">
      <c r="F12" s="2">
        <v>8</v>
      </c>
      <c r="G12" s="2" t="s">
        <v>10</v>
      </c>
      <c r="H12">
        <v>0</v>
      </c>
      <c r="I12">
        <v>0</v>
      </c>
      <c r="J12">
        <v>1</v>
      </c>
      <c r="K12">
        <v>0</v>
      </c>
    </row>
    <row r="13" spans="2:20" x14ac:dyDescent="0.35">
      <c r="F13" s="2">
        <v>9</v>
      </c>
      <c r="G13" s="2" t="s">
        <v>10</v>
      </c>
      <c r="H13">
        <v>0</v>
      </c>
      <c r="I13">
        <v>0</v>
      </c>
      <c r="J13">
        <v>1</v>
      </c>
      <c r="K13">
        <v>0</v>
      </c>
    </row>
    <row r="14" spans="2:20" x14ac:dyDescent="0.35">
      <c r="F14" s="2">
        <v>10</v>
      </c>
      <c r="G14" s="2" t="s">
        <v>10</v>
      </c>
      <c r="H14">
        <v>0</v>
      </c>
      <c r="I14">
        <v>0</v>
      </c>
      <c r="J14">
        <v>1</v>
      </c>
      <c r="K14">
        <v>0</v>
      </c>
    </row>
    <row r="15" spans="2:20" x14ac:dyDescent="0.35">
      <c r="F15" s="2">
        <v>11</v>
      </c>
      <c r="G15" s="2" t="s">
        <v>10</v>
      </c>
      <c r="H15">
        <v>0</v>
      </c>
      <c r="I15">
        <v>0</v>
      </c>
      <c r="J15">
        <v>1</v>
      </c>
      <c r="K15">
        <v>0</v>
      </c>
    </row>
    <row r="16" spans="2:20" x14ac:dyDescent="0.35">
      <c r="F16" s="2">
        <v>12</v>
      </c>
      <c r="G16" s="2" t="s">
        <v>10</v>
      </c>
      <c r="H16">
        <v>0</v>
      </c>
      <c r="I16">
        <v>0</v>
      </c>
      <c r="J16">
        <v>1</v>
      </c>
      <c r="K16">
        <v>0</v>
      </c>
    </row>
    <row r="17" spans="6:11" x14ac:dyDescent="0.35">
      <c r="F17" s="2">
        <v>13</v>
      </c>
      <c r="G17" s="2" t="s">
        <v>10</v>
      </c>
      <c r="H17">
        <v>0</v>
      </c>
      <c r="I17">
        <v>0</v>
      </c>
      <c r="J17">
        <v>1</v>
      </c>
      <c r="K17">
        <v>0</v>
      </c>
    </row>
    <row r="18" spans="6:11" x14ac:dyDescent="0.35">
      <c r="F18" s="2">
        <v>14</v>
      </c>
      <c r="G18" s="2" t="s">
        <v>10</v>
      </c>
      <c r="H18">
        <v>0</v>
      </c>
      <c r="I18">
        <v>0</v>
      </c>
      <c r="J18">
        <v>1</v>
      </c>
      <c r="K18">
        <v>0</v>
      </c>
    </row>
    <row r="19" spans="6:11" x14ac:dyDescent="0.35">
      <c r="F19" s="2">
        <v>15</v>
      </c>
      <c r="G19" s="2" t="s">
        <v>10</v>
      </c>
      <c r="H19">
        <v>0</v>
      </c>
      <c r="I19">
        <v>0</v>
      </c>
      <c r="J19">
        <v>1</v>
      </c>
      <c r="K19">
        <v>0</v>
      </c>
    </row>
    <row r="20" spans="6:11" x14ac:dyDescent="0.35">
      <c r="F20" s="2">
        <v>16</v>
      </c>
      <c r="G20" s="2" t="s">
        <v>10</v>
      </c>
      <c r="H20">
        <v>0</v>
      </c>
      <c r="I20">
        <v>0</v>
      </c>
      <c r="J20">
        <v>1</v>
      </c>
      <c r="K20">
        <v>0</v>
      </c>
    </row>
    <row r="21" spans="6:11" x14ac:dyDescent="0.35">
      <c r="F21" s="2">
        <v>17</v>
      </c>
      <c r="G21" s="2" t="s">
        <v>11</v>
      </c>
      <c r="H21">
        <v>1</v>
      </c>
      <c r="I21">
        <v>0</v>
      </c>
      <c r="J21">
        <v>0</v>
      </c>
      <c r="K21">
        <v>0</v>
      </c>
    </row>
    <row r="22" spans="6:11" x14ac:dyDescent="0.35">
      <c r="F22" s="2">
        <v>18</v>
      </c>
      <c r="G22" s="2" t="s">
        <v>11</v>
      </c>
      <c r="H22">
        <v>1</v>
      </c>
      <c r="I22">
        <v>0</v>
      </c>
      <c r="J22">
        <v>0</v>
      </c>
      <c r="K22">
        <v>0</v>
      </c>
    </row>
    <row r="23" spans="6:11" x14ac:dyDescent="0.35">
      <c r="F23" s="2">
        <v>19</v>
      </c>
      <c r="G23" s="2" t="s">
        <v>11</v>
      </c>
      <c r="H23">
        <v>1</v>
      </c>
      <c r="I23">
        <v>0</v>
      </c>
      <c r="J23">
        <v>0</v>
      </c>
      <c r="K23">
        <v>0</v>
      </c>
    </row>
    <row r="24" spans="6:11" x14ac:dyDescent="0.35">
      <c r="F24" s="2">
        <v>20</v>
      </c>
      <c r="G24" s="2" t="s">
        <v>11</v>
      </c>
      <c r="H24">
        <v>1</v>
      </c>
      <c r="I24">
        <v>0</v>
      </c>
      <c r="J24">
        <v>0</v>
      </c>
      <c r="K24">
        <v>0</v>
      </c>
    </row>
    <row r="25" spans="6:11" x14ac:dyDescent="0.35">
      <c r="F25" s="2">
        <v>21</v>
      </c>
      <c r="G25" s="2" t="s">
        <v>11</v>
      </c>
      <c r="H25">
        <v>1</v>
      </c>
      <c r="I25">
        <v>0</v>
      </c>
      <c r="J25">
        <v>0</v>
      </c>
      <c r="K25">
        <v>0</v>
      </c>
    </row>
    <row r="26" spans="6:11" x14ac:dyDescent="0.35">
      <c r="F26" s="2">
        <v>22</v>
      </c>
      <c r="G26" s="2" t="s">
        <v>10</v>
      </c>
      <c r="H26">
        <v>0</v>
      </c>
      <c r="I26">
        <v>0</v>
      </c>
      <c r="J26">
        <v>1</v>
      </c>
      <c r="K26">
        <v>0</v>
      </c>
    </row>
    <row r="27" spans="6:11" x14ac:dyDescent="0.35">
      <c r="F27" s="2">
        <v>23</v>
      </c>
      <c r="G27" s="2" t="s">
        <v>10</v>
      </c>
      <c r="H27">
        <v>0</v>
      </c>
      <c r="I27">
        <v>0</v>
      </c>
      <c r="J27">
        <v>1</v>
      </c>
      <c r="K27">
        <v>0</v>
      </c>
    </row>
    <row r="28" spans="6:11" x14ac:dyDescent="0.35">
      <c r="F28" s="2">
        <v>24</v>
      </c>
      <c r="G28" s="2" t="s">
        <v>10</v>
      </c>
      <c r="H28">
        <v>0</v>
      </c>
      <c r="I28">
        <v>0</v>
      </c>
      <c r="J28">
        <v>1</v>
      </c>
      <c r="K28">
        <v>0</v>
      </c>
    </row>
    <row r="30" spans="6:11" x14ac:dyDescent="0.35">
      <c r="F30" t="s">
        <v>13</v>
      </c>
    </row>
    <row r="31" spans="6:11" x14ac:dyDescent="0.35">
      <c r="F31" t="s">
        <v>14</v>
      </c>
      <c r="G31" s="2" t="s">
        <v>15</v>
      </c>
      <c r="H31" s="5">
        <v>3.4270000000000002E-2</v>
      </c>
      <c r="I31" s="5">
        <v>3.4270000000000002E-2</v>
      </c>
      <c r="J31" s="5">
        <v>3.4270000000000002E-2</v>
      </c>
      <c r="K31" s="6">
        <v>0</v>
      </c>
    </row>
    <row r="32" spans="6:11" x14ac:dyDescent="0.35">
      <c r="G32" s="7" t="s">
        <v>16</v>
      </c>
      <c r="H32" s="2">
        <v>6.4729999999999996E-2</v>
      </c>
      <c r="I32" s="2">
        <v>5.6489999999999999E-2</v>
      </c>
      <c r="J32" s="2">
        <v>2.9749999999999999E-2</v>
      </c>
      <c r="K32" s="6">
        <v>0</v>
      </c>
    </row>
    <row r="33" spans="7:11" x14ac:dyDescent="0.35">
      <c r="G33" s="7" t="s">
        <v>24</v>
      </c>
      <c r="H33">
        <f>0.02134+0.0058</f>
        <v>2.7140000000000001E-2</v>
      </c>
      <c r="I33">
        <f>0.02134+0.0058</f>
        <v>2.7140000000000001E-2</v>
      </c>
      <c r="J33">
        <f t="shared" ref="I33:K33" si="0">0.02134+0.0058</f>
        <v>2.7140000000000001E-2</v>
      </c>
      <c r="K33">
        <v>0</v>
      </c>
    </row>
    <row r="35" spans="7:11" x14ac:dyDescent="0.35">
      <c r="G35" s="7" t="s">
        <v>17</v>
      </c>
      <c r="H35">
        <f>H31+H32</f>
        <v>9.9000000000000005E-2</v>
      </c>
      <c r="I35">
        <f>I31+I32</f>
        <v>9.0760000000000007E-2</v>
      </c>
      <c r="J35">
        <f>J31+J32</f>
        <v>6.4019999999999994E-2</v>
      </c>
      <c r="K35">
        <f>K31+K32</f>
        <v>0</v>
      </c>
    </row>
  </sheetData>
  <mergeCells count="1">
    <mergeCell ref="C2:S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wrd_pricesignal_august</vt:lpstr>
      <vt:lpstr>wrd_pricesignal_winter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Churchill, Jake</cp:lastModifiedBy>
  <dcterms:created xsi:type="dcterms:W3CDTF">2026-02-06T22:53:57Z</dcterms:created>
  <dcterms:modified xsi:type="dcterms:W3CDTF">2026-02-06T23:30:36Z</dcterms:modified>
</cp:coreProperties>
</file>